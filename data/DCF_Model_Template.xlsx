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ACC" sheetId="2" state="visible" r:id="rId4"/>
    <sheet name="Forecast" sheetId="3" state="visible" r:id="rId5"/>
    <sheet name="DCF Valuation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<sst xmlns="http://schemas.openxmlformats.org/spreadsheetml/2006/main" count="85" uniqueCount="82">
  <si>
    <t xml:space="preserve">DCF Valuation Model - Assumptions</t>
  </si>
  <si>
    <t xml:space="preserve">Company Info</t>
  </si>
  <si>
    <t xml:space="preserve">Company Name</t>
  </si>
  <si>
    <t xml:space="preserve">TCS</t>
  </si>
  <si>
    <t xml:space="preserve">Current Market Price (Rs)</t>
  </si>
  <si>
    <t xml:space="preserve">Base Financials (Latest Actual Year)</t>
  </si>
  <si>
    <t xml:space="preserve">Base Revenue (Rs Cr)</t>
  </si>
  <si>
    <t xml:space="preserve">Net Debt (Rs Cr)  [negative = net cash]</t>
  </si>
  <si>
    <t xml:space="preserve">Shares Outstanding (Cr)</t>
  </si>
  <si>
    <t xml:space="preserve">Forecast Assumptions</t>
  </si>
  <si>
    <t xml:space="preserve">Revenue Growth Rate (%)</t>
  </si>
  <si>
    <t xml:space="preserve">EBIT Margin (%)</t>
  </si>
  <si>
    <t xml:space="preserve">Tax Rate (%)</t>
  </si>
  <si>
    <t xml:space="preserve">D&amp;A (% of Revenue)</t>
  </si>
  <si>
    <t xml:space="preserve">Capex (% of Revenue)</t>
  </si>
  <si>
    <t xml:space="preserve">Change in NWC (% of Revenue)</t>
  </si>
  <si>
    <t xml:space="preserve">Forecast Years</t>
  </si>
  <si>
    <t xml:space="preserve">WACC Inputs</t>
  </si>
  <si>
    <t xml:space="preserve">Risk Free Rate (%)</t>
  </si>
  <si>
    <t xml:space="preserve">Beta</t>
  </si>
  <si>
    <t xml:space="preserve">Expected Market Return (%)</t>
  </si>
  <si>
    <t xml:space="preserve">Pre-tax Cost of Debt (%)</t>
  </si>
  <si>
    <t xml:space="preserve">Market Capitalization (Rs Cr)</t>
  </si>
  <si>
    <t xml:space="preserve">Total Debt (Rs Cr)</t>
  </si>
  <si>
    <t xml:space="preserve">Terminal Value</t>
  </si>
  <si>
    <t xml:space="preserve">Terminal Growth Rate (%)</t>
  </si>
  <si>
    <t xml:space="preserve">Yellow cells = key assumptions you should adjust. Blue text = editable input.</t>
  </si>
  <si>
    <t xml:space="preserve">WACC - Discount Rate Calculation</t>
  </si>
  <si>
    <t xml:space="preserve">Cost of Equity (CAPM)</t>
  </si>
  <si>
    <t xml:space="preserve">Risk Free Rate</t>
  </si>
  <si>
    <t xml:space="preserve">Expected Market Return</t>
  </si>
  <si>
    <t xml:space="preserve">Cost of Equity (Ke)</t>
  </si>
  <si>
    <t xml:space="preserve">Cost of Debt</t>
  </si>
  <si>
    <t xml:space="preserve">Pre-tax Cost of Debt</t>
  </si>
  <si>
    <t xml:space="preserve">Tax Rate</t>
  </si>
  <si>
    <t xml:space="preserve">After-tax Cost of Debt</t>
  </si>
  <si>
    <t xml:space="preserve">Capital Structure Weights</t>
  </si>
  <si>
    <t xml:space="preserve">Market Cap (Equity, E)</t>
  </si>
  <si>
    <t xml:space="preserve">Total Debt (D)</t>
  </si>
  <si>
    <t xml:space="preserve">Equity Weight  E/(D+E)</t>
  </si>
  <si>
    <t xml:space="preserve">Debt Weight  D/(D+E)</t>
  </si>
  <si>
    <t xml:space="preserve">Final WACC</t>
  </si>
  <si>
    <t xml:space="preserve">WACC = E/(D+E) x Ke + D/(D+E) x Kd x (1-T)</t>
  </si>
  <si>
    <t xml:space="preserve">5-Year Forecast - Revenue to FCFF</t>
  </si>
  <si>
    <t xml:space="preserve">Period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</si>
  <si>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</si>
  <si>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</si>
  <si>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</si>
  <si>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</si>
  <si>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</si>
  <si>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</si>
  <si>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</si>
  <si>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</t>
  </si>
  <si>
    <t xml:space="preserve">NOPAT</t>
  </si>
  <si>
    <t xml:space="preserve">(+) D&amp;A</t>
  </si>
  <si>
    <t xml:space="preserve">(-) Capex</t>
  </si>
  <si>
    <t xml:space="preserve">(-) Change in NWC</t>
  </si>
  <si>
    <t xml:space="preserve">FCFF</t>
  </si>
  <si>
    <t xml:space="preserve">Discount Factor</t>
  </si>
  <si>
    <t xml:space="preserve">PV of FCFF</t>
  </si>
  <si>
    <t xml:space="preserve">DCF Valuation Summary</t>
  </si>
  <si>
    <t xml:space="preserve">Present Value of Cash Flows</t>
  </si>
  <si>
    <t xml:space="preserve">Sum of PV of FCFF (Years 1-5)</t>
  </si>
  <si>
    <t xml:space="preserve">Final Year FCFF</t>
  </si>
  <si>
    <t xml:space="preserve">Terminal Growth Rate</t>
  </si>
  <si>
    <t xml:space="preserve">WACC</t>
  </si>
  <si>
    <t xml:space="preserve">Terminal Value = FCFF5 x (1+g) / (WACC-g)</t>
  </si>
  <si>
    <t xml:space="preserve">PV of Terminal Value</t>
  </si>
  <si>
    <t xml:space="preserve">Enterprise Value -&gt; Equity Value</t>
  </si>
  <si>
    <t xml:space="preserve">Enterprise Value</t>
  </si>
  <si>
    <t xml:space="preserve">(-) Net Debt</t>
  </si>
  <si>
    <t xml:space="preserve">Equity Value</t>
  </si>
  <si>
    <t xml:space="preserve">/ Shares Outstanding</t>
  </si>
  <si>
    <t xml:space="preserve">Intrinsic Value</t>
  </si>
  <si>
    <t xml:space="preserve">Intrinsic Value per Share (Rs)</t>
  </si>
  <si>
    <t xml:space="preserve">Upside / (Downside) %</t>
  </si>
  <si>
    <t xml:space="preserve">Verdict</t>
  </si>
  <si>
    <t xml:space="preserve">Not a guaranteed Buy/Sell signal - DCF output is highly sensitive to assumptions. See the Sensitivity sheet.</t>
  </si>
  <si>
    <t xml:space="preserve">Sensitivity - Intrinsic Value per Share</t>
  </si>
  <si>
    <t xml:space="preserve">Rows = WACC, Columns = Terminal Growth Rate</t>
  </si>
  <si>
    <t xml:space="preserve">WACC \ Growth</t>
  </si>
  <si>
    <t xml:space="preserve">Note: cells where WACC &lt;= Growth will show an error - not a valid combination.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</si>
</sst>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"/>
    <numFmt numFmtId="166" formatCode="#,##0.00;\(#,##0.00\)"/>
    <numFmt numFmtId="167" formatCode="0.00%"/>
    <numFmt numFmtId="168" formatCode="0"/>
    <numFmt numFmtId="169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5"/>
      <color rgb="FF0F513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027"/>
        <bgColor rgb="FF1F2C3A"/>
      </patternFill>
    </fill>
    <fill>
      <patternFill patternType="solid">
        <fgColor rgb="FF1F2C3A"/>
        <bgColor rgb="FF0F2027"/>
      </patternFill>
    </fill>
    <fill>
      <patternFill patternType="solid">
        <fgColor rgb="FFFFFF00"/>
        <bgColor rgb="FFFFFF00"/>
      </patternFill>
    </fill>
    <fill>
      <patternFill patternType="solid">
        <fgColor rgb="FFD9F2E6"/>
        <bgColor rgb="FFE8EEF4"/>
      </patternFill>
    </fill>
    <fill>
      <patternFill patternType="solid">
        <fgColor rgb="FFE8EEF4"/>
        <bgColor rgb="FFD9F2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F2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5132"/>
      <rgbColor rgb="FF339966"/>
      <rgbColor rgb="FF0F2027"/>
      <rgbColor rgb="FF333300"/>
      <rgbColor rgb="FF993300"/>
      <rgbColor rgb="FF993366"/>
      <rgbColor rgb="FF333399"/>
      <rgbColor rgb="FF1F2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n">
        <v>3200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3" t="s">
        <v>6</v>
      </c>
      <c r="B8" s="6" t="n">
        <v>240893</v>
      </c>
    </row>
    <row r="9" customFormat="false" ht="15" hidden="false" customHeight="false" outlineLevel="0" collapsed="false">
      <c r="A9" s="3" t="s">
        <v>7</v>
      </c>
      <c r="B9" s="6" t="n">
        <v>-22400</v>
      </c>
    </row>
    <row r="10" customFormat="false" ht="15" hidden="false" customHeight="false" outlineLevel="0" collapsed="false">
      <c r="A10" s="3" t="s">
        <v>8</v>
      </c>
      <c r="B10" s="7" t="n">
        <v>365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  <c r="B13" s="8" t="n">
        <v>0.08</v>
      </c>
    </row>
    <row r="14" customFormat="false" ht="15" hidden="false" customHeight="false" outlineLevel="0" collapsed="false">
      <c r="A14" s="3" t="s">
        <v>11</v>
      </c>
      <c r="B14" s="8" t="n">
        <v>0.26</v>
      </c>
    </row>
    <row r="15" customFormat="false" ht="15" hidden="false" customHeight="false" outlineLevel="0" collapsed="false">
      <c r="A15" s="3" t="s">
        <v>12</v>
      </c>
      <c r="B15" s="8" t="n">
        <v>0.25</v>
      </c>
    </row>
    <row r="16" customFormat="false" ht="15" hidden="false" customHeight="false" outlineLevel="0" collapsed="false">
      <c r="A16" s="3" t="s">
        <v>13</v>
      </c>
      <c r="B16" s="9" t="n">
        <v>0.03</v>
      </c>
    </row>
    <row r="17" customFormat="false" ht="15" hidden="false" customHeight="false" outlineLevel="0" collapsed="false">
      <c r="A17" s="3" t="s">
        <v>14</v>
      </c>
      <c r="B17" s="9" t="n">
        <v>0.05</v>
      </c>
    </row>
    <row r="18" customFormat="false" ht="15" hidden="false" customHeight="false" outlineLevel="0" collapsed="false">
      <c r="A18" s="3" t="s">
        <v>15</v>
      </c>
      <c r="B18" s="9" t="n">
        <v>0.01</v>
      </c>
    </row>
    <row r="19" customFormat="false" ht="15" hidden="false" customHeight="false" outlineLevel="0" collapsed="false">
      <c r="A19" s="3" t="s">
        <v>16</v>
      </c>
      <c r="B19" s="10" t="n">
        <v>5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3" t="s">
        <v>18</v>
      </c>
      <c r="B22" s="8" t="n">
        <v>0.068</v>
      </c>
    </row>
    <row r="23" customFormat="false" ht="15" hidden="false" customHeight="false" outlineLevel="0" collapsed="false">
      <c r="A23" s="3" t="s">
        <v>19</v>
      </c>
      <c r="B23" s="7" t="n">
        <v>0.95</v>
      </c>
    </row>
    <row r="24" customFormat="false" ht="15" hidden="false" customHeight="false" outlineLevel="0" collapsed="false">
      <c r="A24" s="3" t="s">
        <v>20</v>
      </c>
      <c r="B24" s="8" t="n">
        <v>0.115</v>
      </c>
    </row>
    <row r="25" customFormat="false" ht="15" hidden="false" customHeight="false" outlineLevel="0" collapsed="false">
      <c r="A25" s="3" t="s">
        <v>21</v>
      </c>
      <c r="B25" s="9" t="n">
        <v>0.075</v>
      </c>
    </row>
    <row r="26" customFormat="false" ht="15" hidden="false" customHeight="false" outlineLevel="0" collapsed="false">
      <c r="A26" s="3" t="s">
        <v>22</v>
      </c>
      <c r="B26" s="5" t="n">
        <v>1160000</v>
      </c>
    </row>
    <row r="27" customFormat="false" ht="15" hidden="false" customHeight="false" outlineLevel="0" collapsed="false">
      <c r="A27" s="3" t="s">
        <v>23</v>
      </c>
      <c r="B27" s="5" t="n">
        <v>8000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3" t="s">
        <v>25</v>
      </c>
      <c r="B30" s="8" t="n">
        <v>0.04</v>
      </c>
    </row>
    <row r="32" customFormat="false" ht="15" hidden="false" customHeight="false" outlineLevel="0" collapsed="false">
      <c r="A32" s="11" t="s">
        <v>26</v>
      </c>
      <c r="B32" s="11"/>
      <c r="C32" s="11"/>
    </row>
  </sheetData>
  <mergeCells count="2">
    <mergeCell ref="A1:C1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27</v>
      </c>
      <c r="B1" s="1"/>
      <c r="C1" s="1"/>
    </row>
    <row r="3" customFormat="false" ht="15" hidden="false" customHeight="false" outlineLevel="0" collapsed="false">
      <c r="A3" s="2" t="s">
        <v>28</v>
      </c>
    </row>
    <row r="4" customFormat="false" ht="15" hidden="false" customHeight="false" outlineLevel="0" collapsed="false">
      <c r="A4" s="3" t="s">
        <v>29</v>
      </c>
      <c r="B4" s="12" t="n">
        <f aca="false">Assumptions!B22</f>
        <v>0.068</v>
      </c>
    </row>
    <row r="5" customFormat="false" ht="15" hidden="false" customHeight="false" outlineLevel="0" collapsed="false">
      <c r="A5" s="3" t="s">
        <v>19</v>
      </c>
      <c r="B5" s="13" t="n">
        <f aca="false">Assumptions!B23</f>
        <v>0.95</v>
      </c>
    </row>
    <row r="6" customFormat="false" ht="15" hidden="false" customHeight="false" outlineLevel="0" collapsed="false">
      <c r="A6" s="3" t="s">
        <v>30</v>
      </c>
      <c r="B6" s="12" t="n">
        <f aca="false">Assumptions!B24</f>
        <v>0.115</v>
      </c>
    </row>
    <row r="7" customFormat="false" ht="16.15" hidden="false" customHeight="false" outlineLevel="0" collapsed="false">
      <c r="A7" s="14" t="s">
        <v>31</v>
      </c>
      <c r="B7" s="15" t="n">
        <f aca="false">B4+B5*(B6-B4)</f>
        <v>0.11265</v>
      </c>
    </row>
    <row r="9" customFormat="false" ht="15" hidden="false" customHeight="false" outlineLevel="0" collapsed="false">
      <c r="A9" s="2" t="s">
        <v>32</v>
      </c>
    </row>
    <row r="10" customFormat="false" ht="15" hidden="false" customHeight="false" outlineLevel="0" collapsed="false">
      <c r="A10" s="3" t="s">
        <v>33</v>
      </c>
      <c r="B10" s="12" t="n">
        <f aca="false">Assumptions!B25</f>
        <v>0.075</v>
      </c>
    </row>
    <row r="11" customFormat="false" ht="15" hidden="false" customHeight="false" outlineLevel="0" collapsed="false">
      <c r="A11" s="3" t="s">
        <v>34</v>
      </c>
      <c r="B11" s="12" t="n">
        <f aca="false">Assumptions!B15</f>
        <v>0.25</v>
      </c>
    </row>
    <row r="12" customFormat="false" ht="16.15" hidden="false" customHeight="false" outlineLevel="0" collapsed="false">
      <c r="A12" s="14" t="s">
        <v>35</v>
      </c>
      <c r="B12" s="15" t="n">
        <f aca="false">B10*(1-B11)</f>
        <v>0.05625</v>
      </c>
    </row>
    <row r="14" customFormat="false" ht="15" hidden="false" customHeight="false" outlineLevel="0" collapsed="false">
      <c r="A14" s="2" t="s">
        <v>36</v>
      </c>
    </row>
    <row r="15" customFormat="false" ht="15" hidden="false" customHeight="false" outlineLevel="0" collapsed="false">
      <c r="A15" s="3" t="s">
        <v>37</v>
      </c>
      <c r="B15" s="16" t="n">
        <f aca="false">Assumptions!B26</f>
        <v>1160000</v>
      </c>
    </row>
    <row r="16" customFormat="false" ht="15" hidden="false" customHeight="false" outlineLevel="0" collapsed="false">
      <c r="A16" s="3" t="s">
        <v>38</v>
      </c>
      <c r="B16" s="16" t="n">
        <f aca="false">Assumptions!B27</f>
        <v>8000</v>
      </c>
    </row>
    <row r="17" customFormat="false" ht="15" hidden="false" customHeight="false" outlineLevel="0" collapsed="false">
      <c r="A17" s="3" t="s">
        <v>39</v>
      </c>
      <c r="B17" s="17" t="n">
        <f aca="false">B15/(B15+B16)</f>
        <v>0.993150684931507</v>
      </c>
    </row>
    <row r="18" customFormat="false" ht="15" hidden="false" customHeight="false" outlineLevel="0" collapsed="false">
      <c r="A18" s="3" t="s">
        <v>40</v>
      </c>
      <c r="B18" s="17" t="n">
        <f aca="false">B16/(B15+B16)</f>
        <v>0.00684931506849315</v>
      </c>
    </row>
    <row r="20" customFormat="false" ht="15" hidden="false" customHeight="false" outlineLevel="0" collapsed="false">
      <c r="A20" s="2" t="s">
        <v>41</v>
      </c>
    </row>
    <row r="21" customFormat="false" ht="16.15" hidden="false" customHeight="false" outlineLevel="0" collapsed="false">
      <c r="A21" s="14" t="s">
        <v>42</v>
      </c>
      <c r="B21" s="15" t="n">
        <f aca="false">B17*B7+B18*B12</f>
        <v>0.112263698630137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5"/>
  </cols>
  <sheetData>
    <row r="1" customFormat="false" ht="30" hidden="false" customHeight="true" outlineLevel="0" collapsed="false">
      <c r="A1" s="1" t="s">
        <v>43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44</v>
      </c>
    </row>
    <row r="4" customFormat="false" ht="15" hidden="false" customHeight="false" outlineLevel="0" collapsed="false">
      <c r="A4" s="18" t="s">
        <v>45</v>
      </c>
      <c r="B4" s="18" t="s">
        <v>46</v>
      </c>
      <c r="C4" s="18" t="s">
        <v>47</v>
      </c>
      <c r="D4" s="18" t="s">
        <v>48</v>
      </c>
      <c r="E4" s="18" t="s">
        <v>49</v>
      </c>
      <c r="F4" s="18" t="s">
        <v>50</v>
      </c>
    </row>
    <row r="5" customFormat="false" ht="15" hidden="false" customHeight="false" outlineLevel="0" collapsed="false">
      <c r="A5" s="3" t="s">
        <v>51</v>
      </c>
      <c r="B5" s="19" t="n">
        <f aca="false">Assumptions!$B$8*(1+Assumptions!$B$13)</f>
        <v>260164.44</v>
      </c>
      <c r="C5" s="19" t="n">
        <f aca="false">B5*(1+Assumptions!$B$13)</f>
        <v>280977.5952</v>
      </c>
      <c r="D5" s="19" t="n">
        <f aca="false">C5*(1+Assumptions!$B$13)</f>
        <v>303455.802816</v>
      </c>
      <c r="E5" s="19" t="n">
        <f aca="false">D5*(1+Assumptions!$B$13)</f>
        <v>327732.26704128</v>
      </c>
      <c r="F5" s="19" t="n">
        <f aca="false">E5*(1+Assumptions!$B$13)</f>
        <v>353950.848404583</v>
      </c>
    </row>
    <row r="6" customFormat="false" ht="15" hidden="false" customHeight="false" outlineLevel="0" collapsed="false">
      <c r="A6" s="3" t="s">
        <v>52</v>
      </c>
      <c r="B6" s="19" t="n">
        <f aca="false">B5*Assumptions!$B$14</f>
        <v>67642.7544</v>
      </c>
      <c r="C6" s="19" t="n">
        <f aca="false">C5*Assumptions!$B$14</f>
        <v>73054.174752</v>
      </c>
      <c r="D6" s="19" t="n">
        <f aca="false">D5*Assumptions!$B$14</f>
        <v>78898.50873216</v>
      </c>
      <c r="E6" s="19" t="n">
        <f aca="false">E5*Assumptions!$B$14</f>
        <v>85210.3894307328</v>
      </c>
      <c r="F6" s="19" t="n">
        <f aca="false">F5*Assumptions!$B$14</f>
        <v>92027.2205851915</v>
      </c>
    </row>
    <row r="7" customFormat="false" ht="15" hidden="false" customHeight="false" outlineLevel="0" collapsed="false">
      <c r="A7" s="3" t="s">
        <v>53</v>
      </c>
      <c r="B7" s="19" t="n">
        <f aca="false">B6*(1-Assumptions!$B$15)</f>
        <v>50732.0658</v>
      </c>
      <c r="C7" s="19" t="n">
        <f aca="false">C6*(1-Assumptions!$B$15)</f>
        <v>54790.631064</v>
      </c>
      <c r="D7" s="19" t="n">
        <f aca="false">D6*(1-Assumptions!$B$15)</f>
        <v>59173.88154912</v>
      </c>
      <c r="E7" s="19" t="n">
        <f aca="false">E6*(1-Assumptions!$B$15)</f>
        <v>63907.7920730496</v>
      </c>
      <c r="F7" s="19" t="n">
        <f aca="false">F6*(1-Assumptions!$B$15)</f>
        <v>69020.4154388936</v>
      </c>
    </row>
    <row r="8" customFormat="false" ht="15" hidden="false" customHeight="false" outlineLevel="0" collapsed="false">
      <c r="A8" s="3" t="s">
        <v>54</v>
      </c>
      <c r="B8" s="19" t="n">
        <f aca="false">B5*Assumptions!$B$16</f>
        <v>7804.9332</v>
      </c>
      <c r="C8" s="19" t="n">
        <f aca="false">C5*Assumptions!$B$16</f>
        <v>8429.327856</v>
      </c>
      <c r="D8" s="19" t="n">
        <f aca="false">D5*Assumptions!$B$16</f>
        <v>9103.67408448</v>
      </c>
      <c r="E8" s="19" t="n">
        <f aca="false">E5*Assumptions!$B$16</f>
        <v>9831.9680112384</v>
      </c>
      <c r="F8" s="19" t="n">
        <f aca="false">F5*Assumptions!$B$16</f>
        <v>10618.5254521375</v>
      </c>
    </row>
    <row r="9" customFormat="false" ht="15" hidden="false" customHeight="false" outlineLevel="0" collapsed="false">
      <c r="A9" s="3" t="s">
        <v>55</v>
      </c>
      <c r="B9" s="19" t="n">
        <f aca="false">B5*Assumptions!$B$17</f>
        <v>13008.222</v>
      </c>
      <c r="C9" s="19" t="n">
        <f aca="false">C5*Assumptions!$B$17</f>
        <v>14048.87976</v>
      </c>
      <c r="D9" s="19" t="n">
        <f aca="false">D5*Assumptions!$B$17</f>
        <v>15172.7901408</v>
      </c>
      <c r="E9" s="19" t="n">
        <f aca="false">E5*Assumptions!$B$17</f>
        <v>16386.613352064</v>
      </c>
      <c r="F9" s="19" t="n">
        <f aca="false">F5*Assumptions!$B$17</f>
        <v>17697.5424202291</v>
      </c>
    </row>
    <row r="10" customFormat="false" ht="15" hidden="false" customHeight="false" outlineLevel="0" collapsed="false">
      <c r="A10" s="3" t="s">
        <v>56</v>
      </c>
      <c r="B10" s="19" t="n">
        <f aca="false">B5*Assumptions!$B$18</f>
        <v>2601.6444</v>
      </c>
      <c r="C10" s="19" t="n">
        <f aca="false">C5*Assumptions!$B$18</f>
        <v>2809.775952</v>
      </c>
      <c r="D10" s="19" t="n">
        <f aca="false">D5*Assumptions!$B$18</f>
        <v>3034.55802816</v>
      </c>
      <c r="E10" s="19" t="n">
        <f aca="false">E5*Assumptions!$B$18</f>
        <v>3277.3226704128</v>
      </c>
      <c r="F10" s="19" t="n">
        <f aca="false">F5*Assumptions!$B$18</f>
        <v>3539.50848404583</v>
      </c>
    </row>
    <row r="11" customFormat="false" ht="16.15" hidden="false" customHeight="false" outlineLevel="0" collapsed="false">
      <c r="A11" s="14" t="s">
        <v>57</v>
      </c>
      <c r="B11" s="20" t="n">
        <f aca="false">B7+B8-B9-B10</f>
        <v>42927.1326</v>
      </c>
      <c r="C11" s="20" t="n">
        <f aca="false">C7+C8-C9-C10</f>
        <v>46361.303208</v>
      </c>
      <c r="D11" s="20" t="n">
        <f aca="false">D7+D8-D9-D10</f>
        <v>50070.20746464</v>
      </c>
      <c r="E11" s="20" t="n">
        <f aca="false">E7+E8-E9-E10</f>
        <v>54075.8240618112</v>
      </c>
      <c r="F11" s="20" t="n">
        <f aca="false">F7+F8-F9-F10</f>
        <v>58401.8899867561</v>
      </c>
    </row>
    <row r="12" customFormat="false" ht="15" hidden="false" customHeight="false" outlineLevel="0" collapsed="false">
      <c r="A12" s="3" t="s">
        <v>58</v>
      </c>
      <c r="B12" s="21" t="n">
        <f aca="false">1/(1+WACC!$B$21)^1</f>
        <v>0.899067371551907</v>
      </c>
      <c r="C12" s="21" t="n">
        <f aca="false">1/(1+WACC!$B$21)^2</f>
        <v>0.808322138589255</v>
      </c>
      <c r="D12" s="21" t="n">
        <f aca="false">1/(1+WACC!$B$21)^3</f>
        <v>0.726736060508658</v>
      </c>
      <c r="E12" s="21" t="n">
        <f aca="false">1/(1+WACC!$B$21)^4</f>
        <v>0.653384679733507</v>
      </c>
      <c r="F12" s="21" t="n">
        <f aca="false">1/(1+WACC!$B$21)^5</f>
        <v>0.587436846620289</v>
      </c>
    </row>
    <row r="13" customFormat="false" ht="16.15" hidden="false" customHeight="false" outlineLevel="0" collapsed="false">
      <c r="A13" s="14" t="s">
        <v>59</v>
      </c>
      <c r="B13" s="20" t="n">
        <f aca="false">B11*B12</f>
        <v>38594.3842749422</v>
      </c>
      <c r="C13" s="20" t="n">
        <f aca="false">C11*C12</f>
        <v>37474.8677568755</v>
      </c>
      <c r="D13" s="20" t="n">
        <f aca="false">D11*D12</f>
        <v>36387.8253217037</v>
      </c>
      <c r="E13" s="20" t="n">
        <f aca="false">E11*E12</f>
        <v>35332.314985952</v>
      </c>
      <c r="F13" s="20" t="n">
        <f aca="false">F11*F12</f>
        <v>34307.422090485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60</v>
      </c>
      <c r="B1" s="1"/>
      <c r="C1" s="1"/>
    </row>
    <row r="3" customFormat="false" ht="15" hidden="false" customHeight="false" outlineLevel="0" collapsed="false">
      <c r="A3" s="2" t="s">
        <v>61</v>
      </c>
    </row>
    <row r="4" customFormat="false" ht="16.15" hidden="false" customHeight="false" outlineLevel="0" collapsed="false">
      <c r="A4" s="14" t="s">
        <v>62</v>
      </c>
      <c r="B4" s="20" t="n">
        <f aca="false">SUM(Forecast!B13:F13)</f>
        <v>182096.814429958</v>
      </c>
    </row>
    <row r="6" customFormat="false" ht="15" hidden="false" customHeight="false" outlineLevel="0" collapsed="false">
      <c r="A6" s="2" t="s">
        <v>24</v>
      </c>
    </row>
    <row r="7" customFormat="false" ht="15" hidden="false" customHeight="false" outlineLevel="0" collapsed="false">
      <c r="A7" s="3" t="s">
        <v>63</v>
      </c>
      <c r="B7" s="16" t="n">
        <f aca="false">Forecast!F11</f>
        <v>58401.8899867561</v>
      </c>
    </row>
    <row r="8" customFormat="false" ht="15" hidden="false" customHeight="false" outlineLevel="0" collapsed="false">
      <c r="A8" s="3" t="s">
        <v>64</v>
      </c>
      <c r="B8" s="12" t="n">
        <f aca="false">Assumptions!B30</f>
        <v>0.04</v>
      </c>
    </row>
    <row r="9" customFormat="false" ht="15" hidden="false" customHeight="false" outlineLevel="0" collapsed="false">
      <c r="A9" s="3" t="s">
        <v>65</v>
      </c>
      <c r="B9" s="12" t="n">
        <f aca="false">WACC!B21</f>
        <v>0.112263698630137</v>
      </c>
    </row>
    <row r="10" customFormat="false" ht="16.15" hidden="false" customHeight="false" outlineLevel="0" collapsed="false">
      <c r="A10" s="14" t="s">
        <v>66</v>
      </c>
      <c r="B10" s="20" t="n">
        <f aca="false">B7*(1+B8)/(B9-B8)</f>
        <v>840504.523538131</v>
      </c>
    </row>
    <row r="11" customFormat="false" ht="16.15" hidden="false" customHeight="false" outlineLevel="0" collapsed="false">
      <c r="A11" s="14" t="s">
        <v>67</v>
      </c>
      <c r="B11" s="20" t="n">
        <f aca="false">B10/(1+B9)^Assumptions!B19</f>
        <v>493743.326877328</v>
      </c>
    </row>
    <row r="13" customFormat="false" ht="15" hidden="false" customHeight="false" outlineLevel="0" collapsed="false">
      <c r="A13" s="2" t="s">
        <v>68</v>
      </c>
    </row>
    <row r="14" customFormat="false" ht="16.15" hidden="false" customHeight="false" outlineLevel="0" collapsed="false">
      <c r="A14" s="14" t="s">
        <v>69</v>
      </c>
      <c r="B14" s="20" t="n">
        <f aca="false">B4+B11</f>
        <v>675840.141307286</v>
      </c>
    </row>
    <row r="15" customFormat="false" ht="15" hidden="false" customHeight="false" outlineLevel="0" collapsed="false">
      <c r="A15" s="3" t="s">
        <v>70</v>
      </c>
      <c r="B15" s="16" t="n">
        <f aca="false">Assumptions!B9</f>
        <v>-22400</v>
      </c>
    </row>
    <row r="16" customFormat="false" ht="16.15" hidden="false" customHeight="false" outlineLevel="0" collapsed="false">
      <c r="A16" s="14" t="s">
        <v>71</v>
      </c>
      <c r="B16" s="20" t="n">
        <f aca="false">B14-B15</f>
        <v>698240.141307286</v>
      </c>
    </row>
    <row r="17" customFormat="false" ht="15" hidden="false" customHeight="false" outlineLevel="0" collapsed="false">
      <c r="A17" s="3" t="s">
        <v>72</v>
      </c>
      <c r="B17" s="13" t="n">
        <f aca="false">Assumptions!B10</f>
        <v>365</v>
      </c>
    </row>
    <row r="19" customFormat="false" ht="15" hidden="false" customHeight="false" outlineLevel="0" collapsed="false">
      <c r="A19" s="2" t="s">
        <v>73</v>
      </c>
    </row>
    <row r="20" customFormat="false" ht="18.55" hidden="false" customHeight="false" outlineLevel="0" collapsed="false">
      <c r="A20" s="14" t="s">
        <v>74</v>
      </c>
      <c r="B20" s="22" t="n">
        <f aca="false">B16/B17</f>
        <v>1912.98668851311</v>
      </c>
    </row>
    <row r="21" customFormat="false" ht="15" hidden="false" customHeight="false" outlineLevel="0" collapsed="false">
      <c r="A21" s="3" t="s">
        <v>4</v>
      </c>
      <c r="B21" s="16" t="n">
        <f aca="false">Assumptions!B5</f>
        <v>3200</v>
      </c>
    </row>
    <row r="22" customFormat="false" ht="16.15" hidden="false" customHeight="false" outlineLevel="0" collapsed="false">
      <c r="A22" s="14" t="s">
        <v>75</v>
      </c>
      <c r="B22" s="15" t="n">
        <f aca="false">(B20-B21)/B21</f>
        <v>-0.402191659839652</v>
      </c>
    </row>
    <row r="24" customFormat="false" ht="16.15" hidden="false" customHeight="false" outlineLevel="0" collapsed="false">
      <c r="A24" s="14" t="s">
        <v>76</v>
      </c>
      <c r="B24" s="23" t="str">
        <f aca="false">IF(B22&gt;0,"Potentially Undervalued","Potentially Overvalued")</f>
        <v>Potentially Overvalued</v>
      </c>
    </row>
    <row r="26" customFormat="false" ht="15" hidden="false" customHeight="false" outlineLevel="0" collapsed="false">
      <c r="A26" s="11" t="s">
        <v>77</v>
      </c>
      <c r="B26" s="11"/>
      <c r="C26" s="11"/>
    </row>
  </sheetData>
  <mergeCells count="2">
    <mergeCell ref="A1:C1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78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4" t="s">
        <v>79</v>
      </c>
    </row>
    <row r="4" customFormat="false" ht="15" hidden="false" customHeight="false" outlineLevel="0" collapsed="false">
      <c r="A4" s="18" t="s">
        <v>80</v>
      </c>
      <c r="B4" s="25" t="n">
        <f aca="false">Assumptions!$B$30+(-0.01)</f>
        <v>0.03</v>
      </c>
      <c r="C4" s="25" t="n">
        <f aca="false">Assumptions!$B$30+(-0.005)</f>
        <v>0.035</v>
      </c>
      <c r="D4" s="25" t="n">
        <f aca="false">Assumptions!$B$30+(0)</f>
        <v>0.04</v>
      </c>
      <c r="E4" s="25" t="n">
        <f aca="false">Assumptions!$B$30+(0.005)</f>
        <v>0.045</v>
      </c>
      <c r="F4" s="25" t="n">
        <f aca="false">Assumptions!$B$30+(0.01)</f>
        <v>0.05</v>
      </c>
    </row>
    <row r="5" customFormat="false" ht="15" hidden="false" customHeight="false" outlineLevel="0" collapsed="false">
      <c r="A5" s="25" t="n">
        <f aca="false">WACC!$B$21+(-0.01)</f>
        <v>0.102263698630137</v>
      </c>
      <c r="B5" s="19" t="n">
        <f aca="false">(SUMPRODUCT(Forecast!$B$11:$F$11,1/(1+$A5)^{1,2,3,4,5})+((Forecast!$F$11*(1+B$4))/($A5-B$4))/(1+$A5)^Assumptions!$B$19-Assumptions!$B$9)/Assumptions!$B$10</f>
        <v>1975.33474457857</v>
      </c>
      <c r="C5" s="19" t="n">
        <f aca="false">(SUMPRODUCT(Forecast!$B$11:$F$11,1/(1+$A5)^{1,2,3,4,5})+((Forecast!$F$11*(1+C$4))/($A5-C$4))/(1+$A5)^Assumptions!$B$19-Assumptions!$B$9)/Assumptions!$B$10</f>
        <v>2086.83120802212</v>
      </c>
      <c r="D5" s="19" t="n">
        <f aca="false">(SUMPRODUCT(Forecast!$B$11:$F$11,1/(1+$A5)^{1,2,3,4,5})+((Forecast!$F$11*(1+D$4))/($A5-D$4))/(1+$A5)^Assumptions!$B$19-Assumptions!$B$9)/Assumptions!$B$10</f>
        <v>2216.2348093159</v>
      </c>
      <c r="E5" s="19" t="n">
        <f aca="false">(SUMPRODUCT(Forecast!$B$11:$F$11,1/(1+$A5)^{1,2,3,4,5})+((Forecast!$F$11*(1+E$4))/($A5-E$4))/(1+$A5)^Assumptions!$B$19-Assumptions!$B$9)/Assumptions!$B$10</f>
        <v>2368.23625259149</v>
      </c>
      <c r="F5" s="19" t="n">
        <f aca="false">(SUMPRODUCT(Forecast!$B$11:$F$11,1/(1+$A5)^{1,2,3,4,5})+((Forecast!$F$11*(1+F$4))/($A5-F$4))/(1+$A5)^Assumptions!$B$19-Assumptions!$B$9)/Assumptions!$B$10</f>
        <v>2549.32125620813</v>
      </c>
    </row>
    <row r="6" customFormat="false" ht="15" hidden="false" customHeight="false" outlineLevel="0" collapsed="false">
      <c r="A6" s="25" t="n">
        <f aca="false">WACC!$B$21+(-0.005)</f>
        <v>0.107263698630137</v>
      </c>
      <c r="B6" s="19" t="n">
        <f aca="false">(SUMPRODUCT(Forecast!$B$11:$F$11,1/(1+$A6)^{1,2,3,4,5})+((Forecast!$F$11*(1+B$4))/($A6-B$4))/(1+$A6)^Assumptions!$B$19-Assumptions!$B$9)/Assumptions!$B$10</f>
        <v>1848.49495776579</v>
      </c>
      <c r="C6" s="19" t="n">
        <f aca="false">(SUMPRODUCT(Forecast!$B$11:$F$11,1/(1+$A6)^{1,2,3,4,5})+((Forecast!$F$11*(1+C$4))/($A6-C$4))/(1+$A6)^Assumptions!$B$19-Assumptions!$B$9)/Assumptions!$B$10</f>
        <v>1943.81936514307</v>
      </c>
      <c r="D6" s="19" t="n">
        <f aca="false">(SUMPRODUCT(Forecast!$B$11:$F$11,1/(1+$A6)^{1,2,3,4,5})+((Forecast!$F$11*(1+D$4))/($A6-D$4))/(1+$A6)^Assumptions!$B$19-Assumptions!$B$9)/Assumptions!$B$10</f>
        <v>2053.31551884393</v>
      </c>
      <c r="E6" s="19" t="n">
        <f aca="false">(SUMPRODUCT(Forecast!$B$11:$F$11,1/(1+$A6)^{1,2,3,4,5})+((Forecast!$F$11*(1+E$4))/($A6-E$4))/(1+$A6)^Assumptions!$B$19-Assumptions!$B$9)/Assumptions!$B$10</f>
        <v>2180.39754619347</v>
      </c>
      <c r="F6" s="19" t="n">
        <f aca="false">(SUMPRODUCT(Forecast!$B$11:$F$11,1/(1+$A6)^{1,2,3,4,5})+((Forecast!$F$11*(1+F$4))/($A6-F$4))/(1+$A6)^Assumptions!$B$19-Assumptions!$B$9)/Assumptions!$B$10</f>
        <v>2329.67199743277</v>
      </c>
    </row>
    <row r="7" customFormat="false" ht="15" hidden="false" customHeight="false" outlineLevel="0" collapsed="false">
      <c r="A7" s="25" t="n">
        <f aca="false">WACC!$B$21+(0)</f>
        <v>0.112263698630137</v>
      </c>
      <c r="B7" s="19" t="n">
        <f aca="false">(SUMPRODUCT(Forecast!$B$11:$F$11,1/(1+$A7)^{1,2,3,4,5})+((Forecast!$F$11*(1+B$4))/($A7-B$4))/(1+$A7)^Assumptions!$B$19-Assumptions!$B$9)/Assumptions!$B$10</f>
        <v>1737.12365234715</v>
      </c>
      <c r="C7" s="19" t="n">
        <f aca="false">(SUMPRODUCT(Forecast!$B$11:$F$11,1/(1+$A7)^{1,2,3,4,5})+((Forecast!$F$11*(1+C$4))/($A7-C$4))/(1+$A7)^Assumptions!$B$19-Assumptions!$B$9)/Assumptions!$B$10</f>
        <v>1819.36481909814</v>
      </c>
      <c r="D7" s="19" t="n">
        <f aca="false">(SUMPRODUCT(Forecast!$B$11:$F$11,1/(1+$A7)^{1,2,3,4,5})+((Forecast!$F$11*(1+D$4))/($A7-D$4))/(1+$A7)^Assumptions!$B$19-Assumptions!$B$9)/Assumptions!$B$10</f>
        <v>1912.98668851311</v>
      </c>
      <c r="E7" s="19" t="n">
        <f aca="false">(SUMPRODUCT(Forecast!$B$11:$F$11,1/(1+$A7)^{1,2,3,4,5})+((Forecast!$F$11*(1+E$4))/($A7-E$4))/(1+$A7)^Assumptions!$B$19-Assumptions!$B$9)/Assumptions!$B$10</f>
        <v>2020.527190314</v>
      </c>
      <c r="F7" s="19" t="n">
        <f aca="false">(SUMPRODUCT(Forecast!$B$11:$F$11,1/(1+$A7)^{1,2,3,4,5})+((Forecast!$F$11*(1+F$4))/($A7-F$4))/(1+$A7)^Assumptions!$B$19-Assumptions!$B$9)/Assumptions!$B$10</f>
        <v>2145.3394739343</v>
      </c>
    </row>
    <row r="8" customFormat="false" ht="15" hidden="false" customHeight="false" outlineLevel="0" collapsed="false">
      <c r="A8" s="25" t="n">
        <f aca="false">WACC!$B$21+(0.005)</f>
        <v>0.117263698630137</v>
      </c>
      <c r="B8" s="19" t="n">
        <f aca="false">(SUMPRODUCT(Forecast!$B$11:$F$11,1/(1+$A8)^{1,2,3,4,5})+((Forecast!$F$11*(1+B$4))/($A8-B$4))/(1+$A8)^Assumptions!$B$19-Assumptions!$B$9)/Assumptions!$B$10</f>
        <v>1638.56081505325</v>
      </c>
      <c r="C8" s="19" t="n">
        <f aca="false">(SUMPRODUCT(Forecast!$B$11:$F$11,1/(1+$A8)^{1,2,3,4,5})+((Forecast!$F$11*(1+C$4))/($A8-C$4))/(1+$A8)^Assumptions!$B$19-Assumptions!$B$9)/Assumptions!$B$10</f>
        <v>1710.08278054535</v>
      </c>
      <c r="D8" s="19" t="n">
        <f aca="false">(SUMPRODUCT(Forecast!$B$11:$F$11,1/(1+$A8)^{1,2,3,4,5})+((Forecast!$F$11*(1+D$4))/($A8-D$4))/(1+$A8)^Assumptions!$B$19-Assumptions!$B$9)/Assumptions!$B$10</f>
        <v>1790.8616113908</v>
      </c>
      <c r="E8" s="19" t="n">
        <f aca="false">(SUMPRODUCT(Forecast!$B$11:$F$11,1/(1+$A8)^{1,2,3,4,5})+((Forecast!$F$11*(1+E$4))/($A8-E$4))/(1+$A8)^Assumptions!$B$19-Assumptions!$B$9)/Assumptions!$B$10</f>
        <v>1882.81878383469</v>
      </c>
      <c r="F8" s="19" t="n">
        <f aca="false">(SUMPRODUCT(Forecast!$B$11:$F$11,1/(1+$A8)^{1,2,3,4,5})+((Forecast!$F$11*(1+F$4))/($A8-F$4))/(1+$A8)^Assumptions!$B$19-Assumptions!$B$9)/Assumptions!$B$10</f>
        <v>1988.44710049406</v>
      </c>
    </row>
    <row r="9" customFormat="false" ht="15" hidden="false" customHeight="false" outlineLevel="0" collapsed="false">
      <c r="A9" s="25" t="n">
        <f aca="false">WACC!$B$21+(0.01)</f>
        <v>0.122263698630137</v>
      </c>
      <c r="B9" s="19" t="n">
        <f aca="false">(SUMPRODUCT(Forecast!$B$11:$F$11,1/(1+$A9)^{1,2,3,4,5})+((Forecast!$F$11*(1+B$4))/($A9-B$4))/(1+$A9)^Assumptions!$B$19-Assumptions!$B$9)/Assumptions!$B$10</f>
        <v>1550.72307286649</v>
      </c>
      <c r="C9" s="19" t="n">
        <f aca="false">(SUMPRODUCT(Forecast!$B$11:$F$11,1/(1+$A9)^{1,2,3,4,5})+((Forecast!$F$11*(1+C$4))/($A9-C$4))/(1+$A9)^Assumptions!$B$19-Assumptions!$B$9)/Assumptions!$B$10</f>
        <v>1613.3642491045</v>
      </c>
      <c r="D9" s="19" t="n">
        <f aca="false">(SUMPRODUCT(Forecast!$B$11:$F$11,1/(1+$A9)^{1,2,3,4,5})+((Forecast!$F$11*(1+D$4))/($A9-D$4))/(1+$A9)^Assumptions!$B$19-Assumptions!$B$9)/Assumptions!$B$10</f>
        <v>1683.62010560624</v>
      </c>
      <c r="E9" s="19" t="n">
        <f aca="false">(SUMPRODUCT(Forecast!$B$11:$F$11,1/(1+$A9)^{1,2,3,4,5})+((Forecast!$F$11*(1+E$4))/($A9-E$4))/(1+$A9)^Assumptions!$B$19-Assumptions!$B$9)/Assumptions!$B$10</f>
        <v>1762.96895891596</v>
      </c>
      <c r="F9" s="19" t="n">
        <f aca="false">(SUMPRODUCT(Forecast!$B$11:$F$11,1/(1+$A9)^{1,2,3,4,5})+((Forecast!$F$11*(1+F$4))/($A9-F$4))/(1+$A9)^Assumptions!$B$19-Assumptions!$B$9)/Assumptions!$B$10</f>
        <v>1853.29827057668</v>
      </c>
    </row>
    <row r="11" customFormat="false" ht="15" hidden="false" customHeight="false" outlineLevel="0" collapsed="false">
      <c r="A11" s="11" t="s">
        <v>81</v>
      </c>
      <c r="B11" s="11"/>
      <c r="C11" s="11"/>
      <c r="D11" s="11"/>
      <c r="E11" s="11"/>
      <c r="F11" s="11"/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2026-08-16T00:37:49Z</dcterms:created>
  <dc:creator>openpyxl</dc:creator>
  <dc:description/>
  <dc:language>en-US</dc:language>
  <cp:lastModifiedBy/>
  <dcterms:modified xsi:type="dcterms:W3CDTF">2026-08-16T00:37:49Z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